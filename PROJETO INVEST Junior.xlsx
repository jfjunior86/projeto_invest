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0515" windowHeight="5205"/>
  </bookViews>
  <sheets>
    <sheet name="Plan1" sheetId="1" r:id="rId1"/>
    <sheet name="Plan2" sheetId="2" r:id="rId2"/>
    <sheet name="Plan3" sheetId="3" r:id="rId3"/>
  </sheets>
  <definedNames>
    <definedName name="aporte">Plan1!$D$17</definedName>
    <definedName name="patrimonio">Plan1!$D$20</definedName>
    <definedName name="qtd_anos">Plan1!$D$18</definedName>
    <definedName name="rendimento_carteira">Plan1!$D$13</definedName>
    <definedName name="salario">Plan1!$D$12</definedName>
    <definedName name="sugestao_Investimento">Plan1!$D$14</definedName>
    <definedName name="taxa_mensal">Plan1!$D$19</definedName>
  </definedNames>
  <calcPr calcId="144525"/>
</workbook>
</file>

<file path=xl/calcChain.xml><?xml version="1.0" encoding="utf-8"?>
<calcChain xmlns="http://schemas.openxmlformats.org/spreadsheetml/2006/main">
  <c r="C33" i="1" l="1"/>
  <c r="C37" i="1"/>
  <c r="C38" i="1"/>
  <c r="C39" i="1"/>
  <c r="C40" i="1"/>
  <c r="C41" i="1"/>
  <c r="C36" i="1"/>
  <c r="G3" i="2"/>
  <c r="F11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36" i="1" l="1"/>
  <c r="D40" i="1"/>
  <c r="D39" i="1"/>
  <c r="D38" i="1"/>
  <c r="D41" i="1"/>
  <c r="D37" i="1"/>
  <c r="D20" i="1"/>
  <c r="D21" i="1" s="1"/>
  <c r="D14" i="1"/>
  <c r="D42" i="1" l="1"/>
  <c r="C28" i="1"/>
  <c r="D28" i="1" s="1"/>
  <c r="C27" i="1"/>
  <c r="D27" i="1" s="1"/>
  <c r="C26" i="1"/>
  <c r="D26" i="1" s="1"/>
  <c r="C25" i="1"/>
  <c r="D25" i="1" s="1"/>
  <c r="C24" i="1"/>
  <c r="D24" i="1" s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<sst xmlns="http://schemas.openxmlformats.org/spreadsheetml/2006/main" count="70" uniqueCount="34">
  <si>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</si>
  <si>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</si>
  <si>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</si>
  <si>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</si>
  <si>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</si>
  <si>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</si>
  <si>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</si>
  <si>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</si>
  <si>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</si>
  <si>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</si>
  <si>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</si>
  <si>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</si>
  <si>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</si>
  <si>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</si>
  <si>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</si>
  <si>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Sugestão de Investimento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</si>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</sst>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4"/>
      <color theme="0"/>
      <name val="Segoe UI Semibold"/>
      <family val="2"/>
    </font>
    <font>
      <sz val="14"/>
      <color rgb="FF9C6500"/>
      <name val="Segoe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4C8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0" fontId="3" fillId="4" borderId="0" xfId="3" applyAlignment="1"/>
    <xf numFmtId="164" fontId="0" fillId="2" borderId="0" xfId="1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0" xfId="2" applyFont="1"/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5" fillId="2" borderId="5" xfId="0" applyFont="1" applyFill="1" applyBorder="1" applyAlignment="1">
      <alignment horizontal="left" indent="1"/>
    </xf>
    <xf numFmtId="0" fontId="5" fillId="2" borderId="7" xfId="0" applyFont="1" applyFill="1" applyBorder="1" applyAlignment="1">
      <alignment horizontal="left" indent="1"/>
    </xf>
    <xf numFmtId="164" fontId="7" fillId="0" borderId="6" xfId="1" applyNumberFormat="1" applyFont="1" applyBorder="1" applyAlignment="1">
      <alignment horizontal="center"/>
    </xf>
    <xf numFmtId="10" fontId="7" fillId="0" borderId="6" xfId="0" applyNumberFormat="1" applyFont="1" applyBorder="1" applyAlignment="1">
      <alignment horizontal="center"/>
    </xf>
    <xf numFmtId="164" fontId="7" fillId="2" borderId="9" xfId="1" applyNumberFormat="1" applyFont="1" applyFill="1" applyBorder="1" applyAlignment="1">
      <alignment horizontal="center"/>
    </xf>
    <xf numFmtId="164" fontId="8" fillId="0" borderId="6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0" fontId="8" fillId="0" borderId="6" xfId="0" applyNumberFormat="1" applyFont="1" applyBorder="1" applyAlignment="1">
      <alignment horizontal="center"/>
    </xf>
    <xf numFmtId="8" fontId="8" fillId="2" borderId="6" xfId="0" applyNumberFormat="1" applyFont="1" applyFill="1" applyBorder="1" applyAlignment="1">
      <alignment horizontal="center"/>
    </xf>
    <xf numFmtId="8" fontId="8" fillId="2" borderId="9" xfId="0" applyNumberFormat="1" applyFont="1" applyFill="1" applyBorder="1" applyAlignment="1">
      <alignment horizontal="center"/>
    </xf>
    <xf numFmtId="8" fontId="7" fillId="2" borderId="3" xfId="0" applyNumberFormat="1" applyFont="1" applyFill="1" applyBorder="1" applyAlignment="1">
      <alignment horizontal="center"/>
    </xf>
    <xf numFmtId="8" fontId="7" fillId="2" borderId="6" xfId="0" applyNumberFormat="1" applyFont="1" applyFill="1" applyBorder="1" applyAlignment="1">
      <alignment horizontal="center"/>
    </xf>
    <xf numFmtId="8" fontId="7" fillId="2" borderId="8" xfId="0" applyNumberFormat="1" applyFont="1" applyFill="1" applyBorder="1" applyAlignment="1">
      <alignment horizontal="center"/>
    </xf>
    <xf numFmtId="8" fontId="7" fillId="2" borderId="9" xfId="0" applyNumberFormat="1" applyFont="1" applyFill="1" applyBorder="1" applyAlignment="1">
      <alignment horizontal="center"/>
    </xf>
    <xf numFmtId="0" fontId="8" fillId="2" borderId="0" xfId="0" applyFont="1" applyFill="1"/>
    <xf numFmtId="164" fontId="8" fillId="2" borderId="0" xfId="1" applyNumberFormat="1" applyFont="1" applyFill="1" applyAlignment="1">
      <alignment horizontal="center"/>
    </xf>
    <xf numFmtId="0" fontId="10" fillId="4" borderId="0" xfId="3" applyFont="1"/>
    <xf numFmtId="0" fontId="10" fillId="4" borderId="0" xfId="3" applyFont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0" xfId="0" applyFont="1" applyFill="1"/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8" fillId="5" borderId="0" xfId="0" applyNumberFormat="1" applyFont="1" applyFill="1" applyAlignment="1">
      <alignment horizontal="center"/>
    </xf>
    <xf numFmtId="0" fontId="9" fillId="7" borderId="4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indent="1"/>
    </xf>
    <xf numFmtId="0" fontId="5" fillId="2" borderId="3" xfId="0" applyFont="1" applyFill="1" applyBorder="1" applyAlignment="1">
      <alignment horizontal="left" indent="1"/>
    </xf>
    <xf numFmtId="0" fontId="5" fillId="2" borderId="7" xfId="0" applyFont="1" applyFill="1" applyBorder="1" applyAlignment="1">
      <alignment horizontal="left" indent="1"/>
    </xf>
    <xf numFmtId="0" fontId="5" fillId="2" borderId="8" xfId="0" applyFont="1" applyFill="1" applyBorder="1" applyAlignment="1">
      <alignment horizontal="left" indent="1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6" fillId="2" borderId="5" xfId="0" applyFont="1" applyFill="1" applyBorder="1" applyAlignment="1">
      <alignment horizontal="left" indent="1"/>
    </xf>
    <xf numFmtId="0" fontId="6" fillId="2" borderId="3" xfId="0" applyFont="1" applyFill="1" applyBorder="1" applyAlignment="1">
      <alignment horizontal="left" indent="1"/>
    </xf>
    <xf numFmtId="0" fontId="6" fillId="2" borderId="7" xfId="0" applyFont="1" applyFill="1" applyBorder="1" applyAlignment="1">
      <alignment horizontal="left" indent="1"/>
    </xf>
    <xf numFmtId="0" fontId="6" fillId="2" borderId="8" xfId="0" applyFont="1" applyFill="1" applyBorder="1" applyAlignment="1">
      <alignment horizontal="left" indent="1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64C8"/>
      <color rgb="FF005CB8"/>
      <color rgb="FF006BD6"/>
      <color rgb="FF0066CC"/>
      <color rgb="FF0066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ser>
          <c:idx val="1"/>
          <c:order val="1"/>
          <c:cat>
            <c:strRef>
              <c:f>Plan1!$B$36:$B$41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297656</xdr:colOff>
      <xdr:row>0</xdr:row>
      <xdr:rowOff>85725</xdr:rowOff>
    </xdr:from>
    <xdr:to>
      <xdr:col>3</xdr:col>
      <xdr:colOff>976312</xdr:colOff>
      <xdr:row>8</xdr:row>
      <xdr:rowOff>117930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A06C0C26-EE62-D9A1-8A3D-A7E61EE75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56" y="85725"/>
          <a:ext cx="6465094" cy="1556205"/>
        </a:xfrm>
        <a:prstGeom prst="rect">
          <a:avLst/>
        </a:prstGeom>
      </xdr:spPr>
    </xdr:pic>
    <xdr:clientData/>
  </xdr:twoCellAnchor>
  <xdr:twoCellAnchor>
    <xdr:from>
      <xdr:col>1</xdr:col>
      <xdr:colOff>1202531</xdr:colOff>
      <xdr:row>43</xdr:row>
      <xdr:rowOff>69057</xdr:rowOff>
    </xdr:from>
    <xdr:to>
      <xdr:col>3</xdr:col>
      <xdr:colOff>690562</xdr:colOff>
      <xdr:row>56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H42"/>
  <sheetViews>
    <sheetView showGridLines="0" tabSelected="1" topLeftCell="A10" zoomScale="80" zoomScaleNormal="80" workbookViewId="0">
      <selection activeCell="C32" sqref="C32"/>
    </sheetView>
  </sheetViews>
  <sheetFormatPr defaultColWidth="0" defaultRowHeight="15" x14ac:dyDescent="0.25"/>
  <cols>
    <col min="1" max="1" width="4.7109375" customWidth="1"/>
    <col min="2" max="2" width="54.85546875" customWidth="1"/>
    <col min="3" max="3" width="27.28515625" customWidth="1"/>
    <col min="4" max="4" width="14.85546875" customWidth="1"/>
    <col min="5" max="5" width="4.5703125" customWidth="1"/>
    <col min="6" max="6" width="2.28515625" hidden="1" customWidth="1"/>
    <col min="7" max="7" width="2" hidden="1" customWidth="1"/>
    <col min="8" max="8" width="2.28515625" hidden="1" customWidth="1"/>
    <col min="9" max="16384" width="9.140625" hidden="1"/>
  </cols>
  <sheetData>
    <row r="10" spans="2:4" ht="15.75" thickBot="1" x14ac:dyDescent="0.3"/>
    <row r="11" spans="2:4" ht="30.75" x14ac:dyDescent="0.25">
      <c r="B11" s="46" t="s">
        <v>16</v>
      </c>
      <c r="C11" s="47"/>
      <c r="D11" s="48"/>
    </row>
    <row r="12" spans="2:4" ht="17.25" x14ac:dyDescent="0.3">
      <c r="B12" s="42" t="s">
        <v>13</v>
      </c>
      <c r="C12" s="43"/>
      <c r="D12" s="16">
        <v>2000</v>
      </c>
    </row>
    <row r="13" spans="2:4" ht="17.25" x14ac:dyDescent="0.3">
      <c r="B13" s="42" t="s">
        <v>14</v>
      </c>
      <c r="C13" s="43"/>
      <c r="D13" s="17">
        <v>0.01</v>
      </c>
    </row>
    <row r="14" spans="2:4" ht="18" thickBot="1" x14ac:dyDescent="0.35">
      <c r="B14" s="44" t="s">
        <v>15</v>
      </c>
      <c r="C14" s="45"/>
      <c r="D14" s="18">
        <f>D12*30%</f>
        <v>600</v>
      </c>
    </row>
    <row r="15" spans="2:4" ht="15.75" thickBot="1" x14ac:dyDescent="0.3"/>
    <row r="16" spans="2:4" ht="33.75" customHeight="1" x14ac:dyDescent="0.25">
      <c r="B16" s="39" t="s">
        <v>5</v>
      </c>
      <c r="C16" s="40"/>
      <c r="D16" s="41"/>
    </row>
    <row r="17" spans="1:4" ht="17.25" x14ac:dyDescent="0.3">
      <c r="B17" s="51" t="s">
        <v>0</v>
      </c>
      <c r="C17" s="52"/>
      <c r="D17" s="19">
        <v>200</v>
      </c>
    </row>
    <row r="18" spans="1:4" ht="17.25" x14ac:dyDescent="0.3">
      <c r="B18" s="51" t="s">
        <v>1</v>
      </c>
      <c r="C18" s="52"/>
      <c r="D18" s="20">
        <v>5</v>
      </c>
    </row>
    <row r="19" spans="1:4" ht="17.25" x14ac:dyDescent="0.3">
      <c r="B19" s="51" t="s">
        <v>2</v>
      </c>
      <c r="C19" s="52"/>
      <c r="D19" s="21">
        <v>1.0800000000000001E-2</v>
      </c>
    </row>
    <row r="20" spans="1:4" ht="17.25" x14ac:dyDescent="0.3">
      <c r="B20" s="53" t="s">
        <v>3</v>
      </c>
      <c r="C20" s="54"/>
      <c r="D20" s="22">
        <f>FV(taxa_mensal,qtd_anos*12,aporte*-1)</f>
        <v>16760.803871851687</v>
      </c>
    </row>
    <row r="21" spans="1:4" ht="18" thickBot="1" x14ac:dyDescent="0.35">
      <c r="B21" s="55" t="s">
        <v>4</v>
      </c>
      <c r="C21" s="56"/>
      <c r="D21" s="23">
        <f>patrimonio*rendimento_carteira</f>
        <v>167.60803871851687</v>
      </c>
    </row>
    <row r="22" spans="1:4" ht="15.75" thickBot="1" x14ac:dyDescent="0.3">
      <c r="B22" s="2"/>
      <c r="C22" s="2"/>
      <c r="D22" s="2"/>
    </row>
    <row r="23" spans="1:4" ht="30.75" x14ac:dyDescent="0.25">
      <c r="B23" s="49" t="s">
        <v>11</v>
      </c>
      <c r="C23" s="50"/>
      <c r="D23" s="38" t="s">
        <v>12</v>
      </c>
    </row>
    <row r="24" spans="1:4" ht="17.25" x14ac:dyDescent="0.3">
      <c r="A24" s="1">
        <v>2</v>
      </c>
      <c r="B24" s="14" t="s">
        <v>6</v>
      </c>
      <c r="C24" s="24">
        <f>FV($D$19,$A24*12,D17*-1)</f>
        <v>5446.172732116318</v>
      </c>
      <c r="D24" s="25">
        <f>C24*rendimento_carteira</f>
        <v>54.461727321163181</v>
      </c>
    </row>
    <row r="25" spans="1:4" ht="17.25" x14ac:dyDescent="0.3">
      <c r="A25" s="1">
        <v>5</v>
      </c>
      <c r="B25" s="14" t="s">
        <v>7</v>
      </c>
      <c r="C25" s="24">
        <f>FV($D$19,$A25*12,D17*-1)</f>
        <v>16760.803871851687</v>
      </c>
      <c r="D25" s="25">
        <f>C25*rendimento_carteira</f>
        <v>167.60803871851687</v>
      </c>
    </row>
    <row r="26" spans="1:4" ht="17.25" x14ac:dyDescent="0.3">
      <c r="A26" s="1">
        <v>10</v>
      </c>
      <c r="B26" s="14" t="s">
        <v>8</v>
      </c>
      <c r="C26" s="24">
        <f>FV($D$19,$A26*12,D17*-1)</f>
        <v>48691.533250960019</v>
      </c>
      <c r="D26" s="25">
        <f>C26*rendimento_carteira</f>
        <v>486.9153325096002</v>
      </c>
    </row>
    <row r="27" spans="1:4" ht="17.25" x14ac:dyDescent="0.3">
      <c r="A27" s="1">
        <v>20</v>
      </c>
      <c r="B27" s="14" t="s">
        <v>9</v>
      </c>
      <c r="C27" s="24">
        <f>FV($D$19,$A27*12,D17*-1)</f>
        <v>225409.79865970465</v>
      </c>
      <c r="D27" s="25">
        <f>C27*rendimento_carteira</f>
        <v>2254.0979865970467</v>
      </c>
    </row>
    <row r="28" spans="1:4" ht="18" thickBot="1" x14ac:dyDescent="0.35">
      <c r="A28" s="1">
        <v>30</v>
      </c>
      <c r="B28" s="15" t="s">
        <v>10</v>
      </c>
      <c r="C28" s="26">
        <f>FV($D$19,$A28*12,D17*-1)</f>
        <v>866780.96206335025</v>
      </c>
      <c r="D28" s="27">
        <f>C28*rendimento_carteira</f>
        <v>8667.8096206335031</v>
      </c>
    </row>
    <row r="31" spans="1:4" ht="6.75" customHeight="1" x14ac:dyDescent="0.25"/>
    <row r="32" spans="1:4" ht="25.5" customHeight="1" x14ac:dyDescent="0.35">
      <c r="B32" s="30" t="s">
        <v>21</v>
      </c>
      <c r="C32" s="31" t="s">
        <v>19</v>
      </c>
      <c r="D32" s="4"/>
    </row>
    <row r="33" spans="2:4" ht="16.5" x14ac:dyDescent="0.3">
      <c r="B33" s="28" t="s">
        <v>20</v>
      </c>
      <c r="C33" s="29">
        <f>aporte</f>
        <v>200</v>
      </c>
      <c r="D33" s="5"/>
    </row>
    <row r="34" spans="2:4" x14ac:dyDescent="0.25">
      <c r="C34" s="3"/>
    </row>
    <row r="35" spans="2:4" ht="16.5" x14ac:dyDescent="0.3">
      <c r="B35" s="32" t="s">
        <v>22</v>
      </c>
      <c r="C35" s="33" t="s">
        <v>23</v>
      </c>
      <c r="D35" s="32" t="s">
        <v>24</v>
      </c>
    </row>
    <row r="36" spans="2:4" ht="16.5" x14ac:dyDescent="0.3">
      <c r="B36" s="34" t="s">
        <v>25</v>
      </c>
      <c r="C36" s="35">
        <f>VLOOKUP($C$32&amp;"-"&amp;B36,Plan2!$A:$D,4,)</f>
        <v>0.5</v>
      </c>
      <c r="D36" s="36">
        <f>$C$33*C36</f>
        <v>100</v>
      </c>
    </row>
    <row r="37" spans="2:4" ht="16.5" x14ac:dyDescent="0.3">
      <c r="B37" s="34" t="s">
        <v>26</v>
      </c>
      <c r="C37" s="35">
        <f>VLOOKUP($C$32&amp;"-"&amp;B37,Plan2!$A:$D,4,)</f>
        <v>0.1</v>
      </c>
      <c r="D37" s="36">
        <f t="shared" ref="D37:D41" si="0">$C$33*C37</f>
        <v>20</v>
      </c>
    </row>
    <row r="38" spans="2:4" ht="16.5" x14ac:dyDescent="0.3">
      <c r="B38" s="34" t="s">
        <v>27</v>
      </c>
      <c r="C38" s="35">
        <f>VLOOKUP($C$32&amp;"-"&amp;B38,Plan2!$A:$D,4,)</f>
        <v>0.05</v>
      </c>
      <c r="D38" s="36">
        <f t="shared" si="0"/>
        <v>10</v>
      </c>
    </row>
    <row r="39" spans="2:4" ht="16.5" x14ac:dyDescent="0.3">
      <c r="B39" s="34" t="s">
        <v>28</v>
      </c>
      <c r="C39" s="35">
        <f>VLOOKUP($C$32&amp;"-"&amp;B39,Plan2!$A:$D,4,)</f>
        <v>0.05</v>
      </c>
      <c r="D39" s="36">
        <f t="shared" si="0"/>
        <v>10</v>
      </c>
    </row>
    <row r="40" spans="2:4" ht="16.5" x14ac:dyDescent="0.3">
      <c r="B40" s="34" t="s">
        <v>29</v>
      </c>
      <c r="C40" s="35">
        <f>VLOOKUP($C$32&amp;"-"&amp;B40,Plan2!$A:$D,4,)</f>
        <v>0.2</v>
      </c>
      <c r="D40" s="36">
        <f t="shared" si="0"/>
        <v>40</v>
      </c>
    </row>
    <row r="41" spans="2:4" ht="16.5" x14ac:dyDescent="0.3">
      <c r="B41" s="34" t="s">
        <v>30</v>
      </c>
      <c r="C41" s="35">
        <f>VLOOKUP($C$32&amp;"-"&amp;B41,Plan2!$A:$D,4,)</f>
        <v>0.1</v>
      </c>
      <c r="D41" s="36">
        <f t="shared" si="0"/>
        <v>20</v>
      </c>
    </row>
    <row r="42" spans="2:4" ht="16.5" x14ac:dyDescent="0.3">
      <c r="B42" s="33"/>
      <c r="C42" s="33"/>
      <c r="D42" s="37">
        <f>SUM(D36:D41)</f>
        <v>200</v>
      </c>
    </row>
  </sheetData>
  <mergeCells count="11">
    <mergeCell ref="B23:C23"/>
    <mergeCell ref="B17:C17"/>
    <mergeCell ref="B18:C18"/>
    <mergeCell ref="B19:C19"/>
    <mergeCell ref="B20:C20"/>
    <mergeCell ref="B21:C21"/>
    <mergeCell ref="B16:D16"/>
    <mergeCell ref="B12:C12"/>
    <mergeCell ref="B13:C13"/>
    <mergeCell ref="B14:C14"/>
    <mergeCell ref="B11:D11"/>
  </mergeCells>
  <dataValidations count="1">
    <dataValidation type="list" allowBlank="1" showInputMessage="1" showErrorMessage="1" sqref="C32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zoomScale="80" zoomScaleNormal="80" workbookViewId="0">
      <selection activeCell="A29" sqref="A29"/>
    </sheetView>
  </sheetViews>
  <sheetFormatPr defaultRowHeight="15" x14ac:dyDescent="0.25"/>
  <cols>
    <col min="1" max="1" width="23.28515625" customWidth="1"/>
    <col min="2" max="2" width="14.5703125" customWidth="1"/>
    <col min="3" max="3" width="20.28515625" customWidth="1"/>
    <col min="6" max="6" width="17.7109375" customWidth="1"/>
    <col min="7" max="7" width="14" customWidth="1"/>
  </cols>
  <sheetData>
    <row r="2" spans="1:7" x14ac:dyDescent="0.25">
      <c r="A2" s="12" t="s">
        <v>32</v>
      </c>
      <c r="B2" s="13" t="s">
        <v>21</v>
      </c>
      <c r="C2" s="12" t="s">
        <v>22</v>
      </c>
      <c r="D2" s="12" t="s">
        <v>31</v>
      </c>
    </row>
    <row r="3" spans="1:7" x14ac:dyDescent="0.25">
      <c r="A3" t="str">
        <f>B3&amp;"-"&amp;C3</f>
        <v>Conservador-PAPEL</v>
      </c>
      <c r="B3" t="s">
        <v>17</v>
      </c>
      <c r="C3" s="3" t="s">
        <v>25</v>
      </c>
      <c r="D3" s="6">
        <v>0.3</v>
      </c>
      <c r="F3" t="s">
        <v>33</v>
      </c>
      <c r="G3" s="11">
        <f>VLOOKUP(F3,$A:$D,4,)</f>
        <v>0.35</v>
      </c>
    </row>
    <row r="4" spans="1:7" x14ac:dyDescent="0.25">
      <c r="A4" t="str">
        <f t="shared" ref="A4:A20" si="0">B4&amp;"-"&amp;C4</f>
        <v>Conservador-TIJOLO</v>
      </c>
      <c r="B4" t="s">
        <v>17</v>
      </c>
      <c r="C4" s="3" t="s">
        <v>26</v>
      </c>
      <c r="D4" s="6">
        <v>0.5</v>
      </c>
    </row>
    <row r="5" spans="1:7" x14ac:dyDescent="0.25">
      <c r="A5" t="str">
        <f t="shared" si="0"/>
        <v>Conservador-HÍBRIDOS</v>
      </c>
      <c r="B5" t="s">
        <v>17</v>
      </c>
      <c r="C5" s="3" t="s">
        <v>27</v>
      </c>
      <c r="D5" s="6">
        <v>0.1</v>
      </c>
    </row>
    <row r="6" spans="1:7" x14ac:dyDescent="0.25">
      <c r="A6" t="str">
        <f t="shared" si="0"/>
        <v>Conservador-FOFs</v>
      </c>
      <c r="B6" t="s">
        <v>17</v>
      </c>
      <c r="C6" s="3" t="s">
        <v>28</v>
      </c>
      <c r="D6" s="6">
        <v>0.1</v>
      </c>
    </row>
    <row r="7" spans="1:7" x14ac:dyDescent="0.25">
      <c r="A7" t="str">
        <f t="shared" si="0"/>
        <v>Conservador-DESENVOLVIMENTO</v>
      </c>
      <c r="B7" t="s">
        <v>17</v>
      </c>
      <c r="C7" s="3" t="s">
        <v>29</v>
      </c>
      <c r="D7" s="6">
        <v>0</v>
      </c>
    </row>
    <row r="8" spans="1:7" x14ac:dyDescent="0.25">
      <c r="A8" s="7" t="str">
        <f t="shared" si="0"/>
        <v>Conservador-HOTELARIAS</v>
      </c>
      <c r="B8" s="7" t="s">
        <v>17</v>
      </c>
      <c r="C8" s="8" t="s">
        <v>30</v>
      </c>
      <c r="D8" s="9">
        <v>0</v>
      </c>
    </row>
    <row r="9" spans="1:7" x14ac:dyDescent="0.25">
      <c r="A9" s="2" t="str">
        <f t="shared" si="0"/>
        <v>Moderado-PAPEL</v>
      </c>
      <c r="B9" t="s">
        <v>18</v>
      </c>
      <c r="C9" s="3" t="s">
        <v>25</v>
      </c>
      <c r="D9" s="10">
        <v>0.32</v>
      </c>
    </row>
    <row r="10" spans="1:7" x14ac:dyDescent="0.25">
      <c r="A10" s="2" t="str">
        <f t="shared" si="0"/>
        <v>Moderado-TIJOLO</v>
      </c>
      <c r="B10" t="s">
        <v>18</v>
      </c>
      <c r="C10" s="3" t="s">
        <v>26</v>
      </c>
      <c r="D10" s="10">
        <v>0.35</v>
      </c>
    </row>
    <row r="11" spans="1:7" x14ac:dyDescent="0.25">
      <c r="A11" s="2" t="str">
        <f t="shared" si="0"/>
        <v>Moderado-HÍBRIDOS</v>
      </c>
      <c r="B11" t="s">
        <v>18</v>
      </c>
      <c r="C11" s="3" t="s">
        <v>27</v>
      </c>
      <c r="D11" s="10">
        <v>0.08</v>
      </c>
      <c r="F11" s="2" t="str">
        <f t="shared" ref="F11" si="1">G11&amp;"-"&amp;H11</f>
        <v>-</v>
      </c>
    </row>
    <row r="12" spans="1:7" x14ac:dyDescent="0.25">
      <c r="A12" s="2" t="str">
        <f t="shared" si="0"/>
        <v>Moderado-FOFs</v>
      </c>
      <c r="B12" t="s">
        <v>18</v>
      </c>
      <c r="C12" s="3" t="s">
        <v>28</v>
      </c>
      <c r="D12" s="10">
        <v>0.05</v>
      </c>
    </row>
    <row r="13" spans="1:7" x14ac:dyDescent="0.25">
      <c r="A13" s="2" t="str">
        <f t="shared" si="0"/>
        <v>Moderado-DESENVOLVIMENTO</v>
      </c>
      <c r="B13" t="s">
        <v>18</v>
      </c>
      <c r="C13" s="3" t="s">
        <v>29</v>
      </c>
      <c r="D13" s="10">
        <v>0.1</v>
      </c>
    </row>
    <row r="14" spans="1:7" x14ac:dyDescent="0.25">
      <c r="A14" s="7" t="str">
        <f t="shared" si="0"/>
        <v>Moderado-HOTELARIAS</v>
      </c>
      <c r="B14" s="7" t="s">
        <v>18</v>
      </c>
      <c r="C14" s="8" t="s">
        <v>30</v>
      </c>
      <c r="D14" s="9">
        <v>0.1</v>
      </c>
    </row>
    <row r="15" spans="1:7" x14ac:dyDescent="0.25">
      <c r="A15" s="2" t="str">
        <f t="shared" si="0"/>
        <v>Agressivo-PAPEL</v>
      </c>
      <c r="B15" t="s">
        <v>19</v>
      </c>
      <c r="C15" s="3" t="s">
        <v>25</v>
      </c>
      <c r="D15" s="10">
        <v>0.5</v>
      </c>
    </row>
    <row r="16" spans="1:7" x14ac:dyDescent="0.25">
      <c r="A16" s="2" t="str">
        <f t="shared" si="0"/>
        <v>Agressivo-TIJOLO</v>
      </c>
      <c r="B16" t="s">
        <v>19</v>
      </c>
      <c r="C16" s="3" t="s">
        <v>26</v>
      </c>
      <c r="D16" s="10">
        <v>0.1</v>
      </c>
    </row>
    <row r="17" spans="1:4" x14ac:dyDescent="0.25">
      <c r="A17" s="2" t="str">
        <f t="shared" si="0"/>
        <v>Agressivo-HÍBRIDOS</v>
      </c>
      <c r="B17" t="s">
        <v>19</v>
      </c>
      <c r="C17" s="3" t="s">
        <v>27</v>
      </c>
      <c r="D17" s="10">
        <v>0.05</v>
      </c>
    </row>
    <row r="18" spans="1:4" x14ac:dyDescent="0.25">
      <c r="A18" s="2" t="str">
        <f t="shared" si="0"/>
        <v>Agressivo-FOFs</v>
      </c>
      <c r="B18" t="s">
        <v>19</v>
      </c>
      <c r="C18" s="3" t="s">
        <v>28</v>
      </c>
      <c r="D18" s="10">
        <v>0.05</v>
      </c>
    </row>
    <row r="19" spans="1:4" x14ac:dyDescent="0.25">
      <c r="A19" s="2" t="str">
        <f t="shared" si="0"/>
        <v>Agressivo-DESENVOLVIMENTO</v>
      </c>
      <c r="B19" t="s">
        <v>19</v>
      </c>
      <c r="C19" s="3" t="s">
        <v>29</v>
      </c>
      <c r="D19" s="10">
        <v>0.2</v>
      </c>
    </row>
    <row r="20" spans="1:4" x14ac:dyDescent="0.25">
      <c r="A20" s="2" t="str">
        <f t="shared" si="0"/>
        <v>Agressivo-HOTELARIAS</v>
      </c>
      <c r="B20" t="s">
        <v>19</v>
      </c>
      <c r="C20" s="3" t="s">
        <v>30</v>
      </c>
      <c r="D20" s="10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Plan1</vt:lpstr>
      <vt:lpstr>Plan2</vt:lpstr>
      <vt:lpstr>Plan3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 Júnior</dc:creator>
  <cp:lastModifiedBy>JF Júnior</cp:lastModifiedBy>
  <dcterms:created xsi:type="dcterms:W3CDTF">2026-01-05T09:17:48Z</dcterms:created>
  <dcterms:modified xsi:type="dcterms:W3CDTF">2026-01-10T09:13:10Z</dcterms:modified>
</cp:coreProperties>
</file>